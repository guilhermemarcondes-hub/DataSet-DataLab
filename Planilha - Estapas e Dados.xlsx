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uilherme\Downloads\"/>
    </mc:Choice>
  </mc:AlternateContent>
  <bookViews>
    <workbookView xWindow="0" yWindow="0" windowWidth="28800" windowHeight="12330" tabRatio="500" activeTab="3"/>
  </bookViews>
  <sheets>
    <sheet name="Dataset" sheetId="1" r:id="rId1"/>
    <sheet name="Estatísticas - Etapa 1" sheetId="2" r:id="rId2"/>
    <sheet name="Correlações - Etapa 3" sheetId="3" r:id="rId3"/>
    <sheet name="Hipótese - Etapa 4" sheetId="4" r:id="rId4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9" i="4" l="1"/>
  <c r="D9" i="4" s="1"/>
  <c r="B9" i="4"/>
  <c r="C8" i="4"/>
  <c r="D8" i="4" s="1"/>
  <c r="B8" i="4"/>
  <c r="C7" i="4"/>
  <c r="D7" i="4" s="1"/>
  <c r="B7" i="4"/>
  <c r="C6" i="4"/>
  <c r="D6" i="4" s="1"/>
  <c r="B6" i="4"/>
  <c r="B6" i="3"/>
  <c r="B5" i="3"/>
  <c r="B4" i="3"/>
  <c r="B20" i="2"/>
  <c r="B19" i="2"/>
  <c r="B18" i="2"/>
  <c r="B17" i="2"/>
  <c r="B16" i="2"/>
  <c r="B15" i="2"/>
  <c r="B14" i="2"/>
  <c r="B13" i="2"/>
  <c r="B12" i="2"/>
  <c r="B11" i="2"/>
  <c r="B10" i="2"/>
  <c r="B5" i="2"/>
  <c r="B4" i="2"/>
</calcChain>
</file>

<file path=xl/sharedStrings.xml><?xml version="1.0" encoding="utf-8"?>
<sst xmlns="http://schemas.openxmlformats.org/spreadsheetml/2006/main" count="220" uniqueCount="195">
  <si>
    <t>Nome Aluno</t>
  </si>
  <si>
    <t>Matricula</t>
  </si>
  <si>
    <t>Email</t>
  </si>
  <si>
    <t>Horas Estudo</t>
  </si>
  <si>
    <t>Aulas Assistidas</t>
  </si>
  <si>
    <t>Faltas</t>
  </si>
  <si>
    <t>Nota Final</t>
  </si>
  <si>
    <t>Helena Lima</t>
  </si>
  <si>
    <t>helena.lima1@exemplo.com</t>
  </si>
  <si>
    <t>Gabriel Oliveira</t>
  </si>
  <si>
    <t>gabriel.oliveira2@exemplo.com</t>
  </si>
  <si>
    <t>Gabriel Ribeiro</t>
  </si>
  <si>
    <t>gabriel.ribeiro3@exemplo.com</t>
  </si>
  <si>
    <t>Ana Silva</t>
  </si>
  <si>
    <t>ana.silva4@exemplo.com</t>
  </si>
  <si>
    <t>Daniela Lima</t>
  </si>
  <si>
    <t>daniela.lima5@exemplo.com</t>
  </si>
  <si>
    <t>Igor Pereira</t>
  </si>
  <si>
    <t>igor.pereira6@exemplo.com</t>
  </si>
  <si>
    <t>Juliana Gomes</t>
  </si>
  <si>
    <t>juliana.gomes7@exemplo.com</t>
  </si>
  <si>
    <t>Carlos Almeida</t>
  </si>
  <si>
    <t>carlos.almeida8@exemplo.com</t>
  </si>
  <si>
    <t>Helena Rodrigues</t>
  </si>
  <si>
    <t>helena.rodrigues9@exemplo.com</t>
  </si>
  <si>
    <t>Igor Ribeiro</t>
  </si>
  <si>
    <t>igor.ribeiro10@exemplo.com</t>
  </si>
  <si>
    <t>Bruno Silva</t>
  </si>
  <si>
    <t>bruno.silva11@exemplo.com</t>
  </si>
  <si>
    <t>Fernanda Gomes</t>
  </si>
  <si>
    <t>fernanda.gomes12@exemplo.com</t>
  </si>
  <si>
    <t>Bruno Gomes</t>
  </si>
  <si>
    <t>bruno.gomes13@exemplo.com</t>
  </si>
  <si>
    <t>Igor Almeida</t>
  </si>
  <si>
    <t>igor.almeida14@exemplo.com</t>
  </si>
  <si>
    <t>Daniela Silva</t>
  </si>
  <si>
    <t>daniela.silva15@exemplo.com</t>
  </si>
  <si>
    <t>Igor Oliveira</t>
  </si>
  <si>
    <t>igor.oliveira16@exemplo.com</t>
  </si>
  <si>
    <t>Daniela Costa</t>
  </si>
  <si>
    <t>daniela.costa17@exemplo.com</t>
  </si>
  <si>
    <t>Ana Santos</t>
  </si>
  <si>
    <t>ana.santos18@exemplo.com</t>
  </si>
  <si>
    <t>Ana Pereira</t>
  </si>
  <si>
    <t>ana.pereira19@exemplo.com</t>
  </si>
  <si>
    <t>juliana.gomes20@exemplo.com</t>
  </si>
  <si>
    <t>helena.rodrigues21@exemplo.com</t>
  </si>
  <si>
    <t>Carlos Oliveira</t>
  </si>
  <si>
    <t>carlos.oliveira22@exemplo.com</t>
  </si>
  <si>
    <t>Fernanda Rodrigues</t>
  </si>
  <si>
    <t>fernanda.rodrigues23@exemplo.com</t>
  </si>
  <si>
    <t>Eduardo Silva</t>
  </si>
  <si>
    <t>eduardo.silva24@exemplo.com</t>
  </si>
  <si>
    <t>Gabriel Pereira</t>
  </si>
  <si>
    <t>gabriel.pereira25@exemplo.com</t>
  </si>
  <si>
    <t>Igor Lima</t>
  </si>
  <si>
    <t>igor.lima26@exemplo.com</t>
  </si>
  <si>
    <t>ana.silva27@exemplo.com</t>
  </si>
  <si>
    <t>Bruno Lima</t>
  </si>
  <si>
    <t>bruno.lima28@exemplo.com</t>
  </si>
  <si>
    <t>Daniela Rodrigues</t>
  </si>
  <si>
    <t>daniela.rodrigues29@exemplo.com</t>
  </si>
  <si>
    <t>Carlos Gomes</t>
  </si>
  <si>
    <t>carlos.gomes30@exemplo.com</t>
  </si>
  <si>
    <t>Helena Ribeiro</t>
  </si>
  <si>
    <t>helena.ribeiro31@exemplo.com</t>
  </si>
  <si>
    <t>igor.pereira32@exemplo.com</t>
  </si>
  <si>
    <t>Igor Santos</t>
  </si>
  <si>
    <t>igor.santos33@exemplo.com</t>
  </si>
  <si>
    <t>Daniela Pereira</t>
  </si>
  <si>
    <t>daniela.pereira34@exemplo.com</t>
  </si>
  <si>
    <t>daniela.pereira35@exemplo.com</t>
  </si>
  <si>
    <t>carlos.gomes36@exemplo.com</t>
  </si>
  <si>
    <t>Daniela Oliveira</t>
  </si>
  <si>
    <t>daniela.oliveira37@exemplo.com</t>
  </si>
  <si>
    <t>gabriel.oliveira38@exemplo.com</t>
  </si>
  <si>
    <t>ana.silva39@exemplo.com</t>
  </si>
  <si>
    <t>Gabriel Rodrigues</t>
  </si>
  <si>
    <t>gabriel.rodrigues40@exemplo.com</t>
  </si>
  <si>
    <t>Fernanda Ribeiro</t>
  </si>
  <si>
    <t>fernanda.ribeiro41@exemplo.com</t>
  </si>
  <si>
    <t>Juliana Lima</t>
  </si>
  <si>
    <t>juliana.lima42@exemplo.com</t>
  </si>
  <si>
    <t>Juliana Santos</t>
  </si>
  <si>
    <t>juliana.santos43@exemplo.com</t>
  </si>
  <si>
    <t>Carlos Ribeiro</t>
  </si>
  <si>
    <t>carlos.ribeiro44@exemplo.com</t>
  </si>
  <si>
    <t>Gabriel Almeida</t>
  </si>
  <si>
    <t>gabriel.almeida45@exemplo.com</t>
  </si>
  <si>
    <t>igor.santos46@exemplo.com</t>
  </si>
  <si>
    <t>Fernanda Oliveira</t>
  </si>
  <si>
    <t>fernanda.oliveira47@exemplo.com</t>
  </si>
  <si>
    <t>helena.ribeiro48@exemplo.com</t>
  </si>
  <si>
    <t>Fernanda Lima</t>
  </si>
  <si>
    <t>fernanda.lima49@exemplo.com</t>
  </si>
  <si>
    <t>juliana.santos50@exemplo.com</t>
  </si>
  <si>
    <t>Ana Ribeiro</t>
  </si>
  <si>
    <t>ana.ribeiro51@exemplo.com</t>
  </si>
  <si>
    <t>Juliana Silva</t>
  </si>
  <si>
    <t>juliana.silva52@exemplo.com</t>
  </si>
  <si>
    <t>gabriel.rodrigues53@exemplo.com</t>
  </si>
  <si>
    <t>Juliana Costa</t>
  </si>
  <si>
    <t>juliana.costa54@exemplo.com</t>
  </si>
  <si>
    <t>Fernanda Costa</t>
  </si>
  <si>
    <t>fernanda.costa55@exemplo.com</t>
  </si>
  <si>
    <t>gabriel.almeida56@exemplo.com</t>
  </si>
  <si>
    <t>Fernanda Silva</t>
  </si>
  <si>
    <t>fernanda.silva57@exemplo.com</t>
  </si>
  <si>
    <t>Juliana Ribeiro</t>
  </si>
  <si>
    <t>juliana.ribeiro58@exemplo.com</t>
  </si>
  <si>
    <t>Igor Rodrigues</t>
  </si>
  <si>
    <t>igor.rodrigues59@exemplo.com</t>
  </si>
  <si>
    <t>igor.oliveira60@exemplo.com</t>
  </si>
  <si>
    <t>carlos.almeida61@exemplo.com</t>
  </si>
  <si>
    <t>helena.rodrigues62@exemplo.com</t>
  </si>
  <si>
    <t>ana.pereira63@exemplo.com</t>
  </si>
  <si>
    <t>Carlos Costa</t>
  </si>
  <si>
    <t>carlos.costa64@exemplo.com</t>
  </si>
  <si>
    <t>Daniela Santos</t>
  </si>
  <si>
    <t>daniela.santos65@exemplo.com</t>
  </si>
  <si>
    <t>Bruno Santos</t>
  </si>
  <si>
    <t>bruno.santos66@exemplo.com</t>
  </si>
  <si>
    <t>Juliana Almeida</t>
  </si>
  <si>
    <t>juliana.almeida67@exemplo.com</t>
  </si>
  <si>
    <t>Juliana Pereira</t>
  </si>
  <si>
    <t>juliana.pereira68@exemplo.com</t>
  </si>
  <si>
    <t>Fernanda Almeida</t>
  </si>
  <si>
    <t>fernanda.almeida69@exemplo.com</t>
  </si>
  <si>
    <t>helena.ribeiro70@exemplo.com</t>
  </si>
  <si>
    <t>juliana.almeida71@exemplo.com</t>
  </si>
  <si>
    <t>Gabriel Lima</t>
  </si>
  <si>
    <t>gabriel.lima72@exemplo.com</t>
  </si>
  <si>
    <t>Helena Silva</t>
  </si>
  <si>
    <t>helena.silva73@exemplo.com</t>
  </si>
  <si>
    <t>Daniela Gomes</t>
  </si>
  <si>
    <t>daniela.gomes74@exemplo.com</t>
  </si>
  <si>
    <t>Carlos Rodrigues</t>
  </si>
  <si>
    <t>carlos.rodrigues75@exemplo.com</t>
  </si>
  <si>
    <t>Helena Pereira</t>
  </si>
  <si>
    <t>helena.pereira76@exemplo.com</t>
  </si>
  <si>
    <t>daniela.costa77@exemplo.com</t>
  </si>
  <si>
    <t>fernanda.oliveira78@exemplo.com</t>
  </si>
  <si>
    <t>Eduardo Rodrigues</t>
  </si>
  <si>
    <t>eduardo.rodrigues79@exemplo.com</t>
  </si>
  <si>
    <t>igor.oliveira80@exemplo.com</t>
  </si>
  <si>
    <t>daniela.silva81@exemplo.com</t>
  </si>
  <si>
    <t>Igor Gomes</t>
  </si>
  <si>
    <t>igor.gomes82@exemplo.com</t>
  </si>
  <si>
    <t>Bruno Costa</t>
  </si>
  <si>
    <t>bruno.costa83@exemplo.com</t>
  </si>
  <si>
    <t>gabriel.oliveira84@exemplo.com</t>
  </si>
  <si>
    <t>Juliana Oliveira</t>
  </si>
  <si>
    <t>juliana.oliveira85@exemplo.com</t>
  </si>
  <si>
    <t>fernanda.costa86@exemplo.com</t>
  </si>
  <si>
    <t>ETAPA 1 – EXPLORAÇÃO E ESTATÍSTICAS DO DATASET</t>
  </si>
  <si>
    <t>DIMENSÕES DO DATASET</t>
  </si>
  <si>
    <t>Quantidade de Linhas</t>
  </si>
  <si>
    <t>Quantidade de Colunas</t>
  </si>
  <si>
    <t>Variáveis Numéricas</t>
  </si>
  <si>
    <t>5  (matricula, horas_estudo, aulas_assistidas, faltas, nota_final)</t>
  </si>
  <si>
    <t>Variáveis Categóricas</t>
  </si>
  <si>
    <t>2  (nome_aluno, email)</t>
  </si>
  <si>
    <t>ESTATÍSTICAS DA NOTA FINAL</t>
  </si>
  <si>
    <t>Média</t>
  </si>
  <si>
    <t>Mediana</t>
  </si>
  <si>
    <t>Moda</t>
  </si>
  <si>
    <t>Q1 (25%)</t>
  </si>
  <si>
    <t>Q2 (50%)</t>
  </si>
  <si>
    <t>Q3 (75%)</t>
  </si>
  <si>
    <t>Mínimo</t>
  </si>
  <si>
    <t>Máximo</t>
  </si>
  <si>
    <t>Desvio Padrão (amostral)</t>
  </si>
  <si>
    <t>Amplitude (Max - Min)</t>
  </si>
  <si>
    <t>IQR (Q3 - Q1)</t>
  </si>
  <si>
    <t>ETAPA 3 – ANÁLISE DE CORRELAÇÃO</t>
  </si>
  <si>
    <t>PAR DE VARIÁVEIS</t>
  </si>
  <si>
    <t>CORRELAÇÃO (R)</t>
  </si>
  <si>
    <t>INTERPRETAÇÃO</t>
  </si>
  <si>
    <t>Horas de Estudo × Nota Final</t>
  </si>
  <si>
    <t>Correlação positiva muito forte (≈ 0,997)</t>
  </si>
  <si>
    <t>Aulas Assistidas × Nota Final</t>
  </si>
  <si>
    <t>Correlação positiva muito forte (≈ 0,995)</t>
  </si>
  <si>
    <t>Faltas × Nota Final</t>
  </si>
  <si>
    <t>Correlação negativa forte</t>
  </si>
  <si>
    <t>ETAPA 4 – SELEÇÃO DE AMOSTRAS PARA TESTE DE HIPÓTESE</t>
  </si>
  <si>
    <t>Hipótese</t>
  </si>
  <si>
    <t>Alunos que estudam mais de 10h/semana têm nota média maior</t>
  </si>
  <si>
    <t>MÉTRICA</t>
  </si>
  <si>
    <t>GRUPO ≤ 10h/semana</t>
  </si>
  <si>
    <t>GRUPO &gt; 10h/semana</t>
  </si>
  <si>
    <t>DIFERENÇA</t>
  </si>
  <si>
    <t>Qtd. de Alunos</t>
  </si>
  <si>
    <t>Nota Média</t>
  </si>
  <si>
    <t>Nota Mínima</t>
  </si>
  <si>
    <t>Nota Máxima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</si>
</sst>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0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1"/>
      <name val="Calibri"/>
      <family val="2"/>
      <charset val="1"/>
    </font>
    <font>
      <b/>
      <sz val="11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AF0FB"/>
        <bgColor rgb="FFD6E4F7"/>
      </patternFill>
    </fill>
    <fill>
      <patternFill patternType="solid">
        <fgColor rgb="FFFFFFFF"/>
        <bgColor rgb="FFEAF0FB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4" fillId="0" borderId="0" xfId="0" applyFont="1" applyFill="1" applyAlignment="1"/>
    <xf numFmtId="0" fontId="5" fillId="0" borderId="1" xfId="0" applyFont="1" applyFill="1" applyBorder="1" applyAlignment="1"/>
    <xf numFmtId="0" fontId="4" fillId="0" borderId="2" xfId="0" applyFont="1" applyFill="1" applyBorder="1" applyAlignment="1"/>
    <xf numFmtId="2" fontId="4" fillId="0" borderId="2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7" fillId="0" borderId="0" xfId="0" applyFont="1" applyFill="1" applyAlignment="1"/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/>
    <xf numFmtId="0" fontId="3" fillId="0" borderId="2" xfId="0" applyFont="1" applyFill="1" applyBorder="1" applyAlignment="1"/>
    <xf numFmtId="0" fontId="9" fillId="0" borderId="1" xfId="0" applyFont="1" applyFill="1" applyBorder="1" applyAlignment="1">
      <alignment horizontal="center" vertical="center"/>
    </xf>
    <xf numFmtId="2" fontId="3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AF0FB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22" style="1" customWidth="1"/>
    <col min="2" max="2" width="13" style="1" customWidth="1"/>
    <col min="3" max="3" width="32" style="1" customWidth="1"/>
    <col min="4" max="4" width="15" style="1" customWidth="1"/>
    <col min="5" max="5" width="18" style="1" customWidth="1"/>
    <col min="6" max="6" width="10" style="1" customWidth="1"/>
    <col min="7" max="7" width="13" style="1" customWidth="1"/>
  </cols>
  <sheetData>
    <row r="1" spans="1:7" ht="21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customHeight="1" x14ac:dyDescent="0.25">
      <c r="A2" s="3" t="s">
        <v>7</v>
      </c>
      <c r="B2" s="3">
        <v>20240001</v>
      </c>
      <c r="C2" s="3" t="s">
        <v>8</v>
      </c>
      <c r="D2" s="3">
        <v>2</v>
      </c>
      <c r="E2" s="3">
        <v>40</v>
      </c>
      <c r="F2" s="3">
        <v>10</v>
      </c>
      <c r="G2" s="3">
        <v>45</v>
      </c>
    </row>
    <row r="3" spans="1:7" ht="15" customHeight="1" x14ac:dyDescent="0.25">
      <c r="A3" s="4" t="s">
        <v>9</v>
      </c>
      <c r="B3" s="4">
        <v>20240002</v>
      </c>
      <c r="C3" s="4" t="s">
        <v>10</v>
      </c>
      <c r="D3" s="4">
        <v>3</v>
      </c>
      <c r="E3" s="4">
        <v>45</v>
      </c>
      <c r="F3" s="4">
        <v>9</v>
      </c>
      <c r="G3" s="4">
        <v>48</v>
      </c>
    </row>
    <row r="4" spans="1:7" ht="15" customHeight="1" x14ac:dyDescent="0.25">
      <c r="A4" s="3" t="s">
        <v>11</v>
      </c>
      <c r="B4" s="3">
        <v>20240003</v>
      </c>
      <c r="C4" s="3" t="s">
        <v>12</v>
      </c>
      <c r="D4" s="3">
        <v>4</v>
      </c>
      <c r="E4" s="3">
        <v>50</v>
      </c>
      <c r="F4" s="3">
        <v>9</v>
      </c>
      <c r="G4" s="3">
        <v>50</v>
      </c>
    </row>
    <row r="5" spans="1:7" ht="15" customHeight="1" x14ac:dyDescent="0.25">
      <c r="A5" s="4" t="s">
        <v>13</v>
      </c>
      <c r="B5" s="4">
        <v>20240004</v>
      </c>
      <c r="C5" s="4" t="s">
        <v>14</v>
      </c>
      <c r="D5" s="4">
        <v>5</v>
      </c>
      <c r="E5" s="4">
        <v>55</v>
      </c>
      <c r="F5" s="4">
        <v>8</v>
      </c>
      <c r="G5" s="4">
        <v>53</v>
      </c>
    </row>
    <row r="6" spans="1:7" ht="15" customHeight="1" x14ac:dyDescent="0.25">
      <c r="A6" s="3" t="s">
        <v>15</v>
      </c>
      <c r="B6" s="3">
        <v>20240005</v>
      </c>
      <c r="C6" s="3" t="s">
        <v>16</v>
      </c>
      <c r="D6" s="3">
        <v>6</v>
      </c>
      <c r="E6" s="3">
        <v>58</v>
      </c>
      <c r="F6" s="3">
        <v>8</v>
      </c>
      <c r="G6" s="3">
        <v>56</v>
      </c>
    </row>
    <row r="7" spans="1:7" ht="15" customHeight="1" x14ac:dyDescent="0.25">
      <c r="A7" s="4" t="s">
        <v>17</v>
      </c>
      <c r="B7" s="4">
        <v>20240006</v>
      </c>
      <c r="C7" s="4" t="s">
        <v>18</v>
      </c>
      <c r="D7" s="4">
        <v>7</v>
      </c>
      <c r="E7" s="4">
        <v>60</v>
      </c>
      <c r="F7" s="4">
        <v>7</v>
      </c>
      <c r="G7" s="4">
        <v>58</v>
      </c>
    </row>
    <row r="8" spans="1:7" ht="15" customHeight="1" x14ac:dyDescent="0.25">
      <c r="A8" s="3" t="s">
        <v>19</v>
      </c>
      <c r="B8" s="3">
        <v>20240007</v>
      </c>
      <c r="C8" s="3" t="s">
        <v>20</v>
      </c>
      <c r="D8" s="3">
        <v>8</v>
      </c>
      <c r="E8" s="3">
        <v>62</v>
      </c>
      <c r="F8" s="3">
        <v>7</v>
      </c>
      <c r="G8" s="3">
        <v>60</v>
      </c>
    </row>
    <row r="9" spans="1:7" ht="15" customHeight="1" x14ac:dyDescent="0.25">
      <c r="A9" s="4" t="s">
        <v>21</v>
      </c>
      <c r="B9" s="4">
        <v>20240008</v>
      </c>
      <c r="C9" s="4" t="s">
        <v>22</v>
      </c>
      <c r="D9" s="4">
        <v>9</v>
      </c>
      <c r="E9" s="4">
        <v>65</v>
      </c>
      <c r="F9" s="4">
        <v>6</v>
      </c>
      <c r="G9" s="4">
        <v>63</v>
      </c>
    </row>
    <row r="10" spans="1:7" ht="15" customHeight="1" x14ac:dyDescent="0.25">
      <c r="A10" s="3" t="s">
        <v>23</v>
      </c>
      <c r="B10" s="3">
        <v>20240009</v>
      </c>
      <c r="C10" s="3" t="s">
        <v>24</v>
      </c>
      <c r="D10" s="3">
        <v>10</v>
      </c>
      <c r="E10" s="3">
        <v>68</v>
      </c>
      <c r="F10" s="3">
        <v>6</v>
      </c>
      <c r="G10" s="3">
        <v>66</v>
      </c>
    </row>
    <row r="11" spans="1:7" ht="15" customHeight="1" x14ac:dyDescent="0.25">
      <c r="A11" s="4" t="s">
        <v>25</v>
      </c>
      <c r="B11" s="4">
        <v>20240010</v>
      </c>
      <c r="C11" s="4" t="s">
        <v>26</v>
      </c>
      <c r="D11" s="4">
        <v>11</v>
      </c>
      <c r="E11" s="4">
        <v>70</v>
      </c>
      <c r="F11" s="4">
        <v>5</v>
      </c>
      <c r="G11" s="4">
        <v>68</v>
      </c>
    </row>
    <row r="12" spans="1:7" ht="15" customHeight="1" x14ac:dyDescent="0.25">
      <c r="A12" s="3" t="s">
        <v>27</v>
      </c>
      <c r="B12" s="3">
        <v>20240011</v>
      </c>
      <c r="C12" s="3" t="s">
        <v>28</v>
      </c>
      <c r="D12" s="3">
        <v>12</v>
      </c>
      <c r="E12" s="3">
        <v>72</v>
      </c>
      <c r="F12" s="3">
        <v>5</v>
      </c>
      <c r="G12" s="3">
        <v>70</v>
      </c>
    </row>
    <row r="13" spans="1:7" ht="15" customHeight="1" x14ac:dyDescent="0.25">
      <c r="A13" s="4" t="s">
        <v>29</v>
      </c>
      <c r="B13" s="4">
        <v>20240012</v>
      </c>
      <c r="C13" s="4" t="s">
        <v>30</v>
      </c>
      <c r="D13" s="4">
        <v>13</v>
      </c>
      <c r="E13" s="4">
        <v>74</v>
      </c>
      <c r="F13" s="4">
        <v>5</v>
      </c>
      <c r="G13" s="4">
        <v>72</v>
      </c>
    </row>
    <row r="14" spans="1:7" ht="15" customHeight="1" x14ac:dyDescent="0.25">
      <c r="A14" s="3" t="s">
        <v>31</v>
      </c>
      <c r="B14" s="3">
        <v>20240013</v>
      </c>
      <c r="C14" s="3" t="s">
        <v>32</v>
      </c>
      <c r="D14" s="3">
        <v>14</v>
      </c>
      <c r="E14" s="3">
        <v>76</v>
      </c>
      <c r="F14" s="3">
        <v>4</v>
      </c>
      <c r="G14" s="3">
        <v>74</v>
      </c>
    </row>
    <row r="15" spans="1:7" ht="15" customHeight="1" x14ac:dyDescent="0.25">
      <c r="A15" s="4" t="s">
        <v>33</v>
      </c>
      <c r="B15" s="4">
        <v>20240014</v>
      </c>
      <c r="C15" s="4" t="s">
        <v>34</v>
      </c>
      <c r="D15" s="4">
        <v>15</v>
      </c>
      <c r="E15" s="4">
        <v>78</v>
      </c>
      <c r="F15" s="4">
        <v>4</v>
      </c>
      <c r="G15" s="4">
        <v>76</v>
      </c>
    </row>
    <row r="16" spans="1:7" ht="15" customHeight="1" x14ac:dyDescent="0.25">
      <c r="A16" s="3" t="s">
        <v>35</v>
      </c>
      <c r="B16" s="3">
        <v>20240015</v>
      </c>
      <c r="C16" s="3" t="s">
        <v>36</v>
      </c>
      <c r="D16" s="3">
        <v>16</v>
      </c>
      <c r="E16" s="3">
        <v>80</v>
      </c>
      <c r="F16" s="3">
        <v>4</v>
      </c>
      <c r="G16" s="3">
        <v>78</v>
      </c>
    </row>
    <row r="17" spans="1:7" ht="15" customHeight="1" x14ac:dyDescent="0.25">
      <c r="A17" s="4" t="s">
        <v>37</v>
      </c>
      <c r="B17" s="4">
        <v>20240016</v>
      </c>
      <c r="C17" s="4" t="s">
        <v>38</v>
      </c>
      <c r="D17" s="4">
        <v>17</v>
      </c>
      <c r="E17" s="4">
        <v>82</v>
      </c>
      <c r="F17" s="4">
        <v>3</v>
      </c>
      <c r="G17" s="4">
        <v>80</v>
      </c>
    </row>
    <row r="18" spans="1:7" ht="15" customHeight="1" x14ac:dyDescent="0.25">
      <c r="A18" s="3" t="s">
        <v>39</v>
      </c>
      <c r="B18" s="3">
        <v>20240017</v>
      </c>
      <c r="C18" s="3" t="s">
        <v>40</v>
      </c>
      <c r="D18" s="3">
        <v>18</v>
      </c>
      <c r="E18" s="3">
        <v>84</v>
      </c>
      <c r="F18" s="3">
        <v>3</v>
      </c>
      <c r="G18" s="3">
        <v>82</v>
      </c>
    </row>
    <row r="19" spans="1:7" ht="15" customHeight="1" x14ac:dyDescent="0.25">
      <c r="A19" s="4" t="s">
        <v>41</v>
      </c>
      <c r="B19" s="4">
        <v>20240018</v>
      </c>
      <c r="C19" s="4" t="s">
        <v>42</v>
      </c>
      <c r="D19" s="4">
        <v>19</v>
      </c>
      <c r="E19" s="4">
        <v>86</v>
      </c>
      <c r="F19" s="4">
        <v>3</v>
      </c>
      <c r="G19" s="4">
        <v>84</v>
      </c>
    </row>
    <row r="20" spans="1:7" ht="15" customHeight="1" x14ac:dyDescent="0.25">
      <c r="A20" s="3" t="s">
        <v>43</v>
      </c>
      <c r="B20" s="3">
        <v>20240019</v>
      </c>
      <c r="C20" s="3" t="s">
        <v>44</v>
      </c>
      <c r="D20" s="3">
        <v>20</v>
      </c>
      <c r="E20" s="3">
        <v>88</v>
      </c>
      <c r="F20" s="3">
        <v>2</v>
      </c>
      <c r="G20" s="3">
        <v>86</v>
      </c>
    </row>
    <row r="21" spans="1:7" ht="15" customHeight="1" x14ac:dyDescent="0.25">
      <c r="A21" s="4" t="s">
        <v>19</v>
      </c>
      <c r="B21" s="4">
        <v>20240020</v>
      </c>
      <c r="C21" s="4" t="s">
        <v>45</v>
      </c>
      <c r="D21" s="4">
        <v>21</v>
      </c>
      <c r="E21" s="4">
        <v>90</v>
      </c>
      <c r="F21" s="4">
        <v>2</v>
      </c>
      <c r="G21" s="4">
        <v>88</v>
      </c>
    </row>
    <row r="22" spans="1:7" ht="15" customHeight="1" x14ac:dyDescent="0.25">
      <c r="A22" s="3" t="s">
        <v>23</v>
      </c>
      <c r="B22" s="3">
        <v>20240021</v>
      </c>
      <c r="C22" s="3" t="s">
        <v>46</v>
      </c>
      <c r="D22" s="3">
        <v>22</v>
      </c>
      <c r="E22" s="3">
        <v>92</v>
      </c>
      <c r="F22" s="3">
        <v>2</v>
      </c>
      <c r="G22" s="3">
        <v>90</v>
      </c>
    </row>
    <row r="23" spans="1:7" ht="15" customHeight="1" x14ac:dyDescent="0.25">
      <c r="A23" s="4" t="s">
        <v>47</v>
      </c>
      <c r="B23" s="4">
        <v>20240022</v>
      </c>
      <c r="C23" s="4" t="s">
        <v>48</v>
      </c>
      <c r="D23" s="4">
        <v>23</v>
      </c>
      <c r="E23" s="4">
        <v>94</v>
      </c>
      <c r="F23" s="4">
        <v>1</v>
      </c>
      <c r="G23" s="4">
        <v>92</v>
      </c>
    </row>
    <row r="24" spans="1:7" ht="15" customHeight="1" x14ac:dyDescent="0.25">
      <c r="A24" s="3" t="s">
        <v>49</v>
      </c>
      <c r="B24" s="3">
        <v>20240023</v>
      </c>
      <c r="C24" s="3" t="s">
        <v>50</v>
      </c>
      <c r="D24" s="3">
        <v>24</v>
      </c>
      <c r="E24" s="3">
        <v>96</v>
      </c>
      <c r="F24" s="3">
        <v>1</v>
      </c>
      <c r="G24" s="3">
        <v>94</v>
      </c>
    </row>
    <row r="25" spans="1:7" ht="15" customHeight="1" x14ac:dyDescent="0.25">
      <c r="A25" s="4" t="s">
        <v>51</v>
      </c>
      <c r="B25" s="4">
        <v>20240024</v>
      </c>
      <c r="C25" s="4" t="s">
        <v>52</v>
      </c>
      <c r="D25" s="4">
        <v>25</v>
      </c>
      <c r="E25" s="4">
        <v>98</v>
      </c>
      <c r="F25" s="4">
        <v>1</v>
      </c>
      <c r="G25" s="4">
        <v>96</v>
      </c>
    </row>
    <row r="26" spans="1:7" ht="15" customHeight="1" x14ac:dyDescent="0.25">
      <c r="A26" s="3" t="s">
        <v>53</v>
      </c>
      <c r="B26" s="3">
        <v>20240025</v>
      </c>
      <c r="C26" s="3" t="s">
        <v>54</v>
      </c>
      <c r="D26" s="3">
        <v>26</v>
      </c>
      <c r="E26" s="3">
        <v>100</v>
      </c>
      <c r="F26" s="3">
        <v>0</v>
      </c>
      <c r="G26" s="3">
        <v>98</v>
      </c>
    </row>
    <row r="27" spans="1:7" ht="15" customHeight="1" x14ac:dyDescent="0.25">
      <c r="A27" s="4" t="s">
        <v>55</v>
      </c>
      <c r="B27" s="4">
        <v>20240026</v>
      </c>
      <c r="C27" s="4" t="s">
        <v>56</v>
      </c>
      <c r="D27" s="4">
        <v>3</v>
      </c>
      <c r="E27" s="4">
        <v>42</v>
      </c>
      <c r="F27" s="4">
        <v>10</v>
      </c>
      <c r="G27" s="4">
        <v>46</v>
      </c>
    </row>
    <row r="28" spans="1:7" ht="15" customHeight="1" x14ac:dyDescent="0.25">
      <c r="A28" s="3" t="s">
        <v>13</v>
      </c>
      <c r="B28" s="3">
        <v>20240027</v>
      </c>
      <c r="C28" s="3" t="s">
        <v>57</v>
      </c>
      <c r="D28" s="3">
        <v>4</v>
      </c>
      <c r="E28" s="3">
        <v>47</v>
      </c>
      <c r="F28" s="3">
        <v>9</v>
      </c>
      <c r="G28" s="3">
        <v>49</v>
      </c>
    </row>
    <row r="29" spans="1:7" ht="15" customHeight="1" x14ac:dyDescent="0.25">
      <c r="A29" s="4" t="s">
        <v>58</v>
      </c>
      <c r="B29" s="4">
        <v>20240028</v>
      </c>
      <c r="C29" s="4" t="s">
        <v>59</v>
      </c>
      <c r="D29" s="4">
        <v>5</v>
      </c>
      <c r="E29" s="4">
        <v>52</v>
      </c>
      <c r="F29" s="4">
        <v>8</v>
      </c>
      <c r="G29" s="4">
        <v>52</v>
      </c>
    </row>
    <row r="30" spans="1:7" ht="15" customHeight="1" x14ac:dyDescent="0.25">
      <c r="A30" s="3" t="s">
        <v>60</v>
      </c>
      <c r="B30" s="3">
        <v>20240029</v>
      </c>
      <c r="C30" s="3" t="s">
        <v>61</v>
      </c>
      <c r="D30" s="3">
        <v>6</v>
      </c>
      <c r="E30" s="3">
        <v>56</v>
      </c>
      <c r="F30" s="3">
        <v>8</v>
      </c>
      <c r="G30" s="3">
        <v>55</v>
      </c>
    </row>
    <row r="31" spans="1:7" ht="15" customHeight="1" x14ac:dyDescent="0.25">
      <c r="A31" s="4" t="s">
        <v>62</v>
      </c>
      <c r="B31" s="4">
        <v>20240030</v>
      </c>
      <c r="C31" s="4" t="s">
        <v>63</v>
      </c>
      <c r="D31" s="4">
        <v>7</v>
      </c>
      <c r="E31" s="4">
        <v>59</v>
      </c>
      <c r="F31" s="4">
        <v>7</v>
      </c>
      <c r="G31" s="4">
        <v>57</v>
      </c>
    </row>
    <row r="32" spans="1:7" ht="15" customHeight="1" x14ac:dyDescent="0.25">
      <c r="A32" s="3" t="s">
        <v>64</v>
      </c>
      <c r="B32" s="3">
        <v>20240031</v>
      </c>
      <c r="C32" s="3" t="s">
        <v>65</v>
      </c>
      <c r="D32" s="3">
        <v>8</v>
      </c>
      <c r="E32" s="3">
        <v>61</v>
      </c>
      <c r="F32" s="3">
        <v>7</v>
      </c>
      <c r="G32" s="3">
        <v>59</v>
      </c>
    </row>
    <row r="33" spans="1:7" ht="15" customHeight="1" x14ac:dyDescent="0.25">
      <c r="A33" s="4" t="s">
        <v>17</v>
      </c>
      <c r="B33" s="4">
        <v>20240032</v>
      </c>
      <c r="C33" s="4" t="s">
        <v>66</v>
      </c>
      <c r="D33" s="4">
        <v>9</v>
      </c>
      <c r="E33" s="4">
        <v>64</v>
      </c>
      <c r="F33" s="4">
        <v>6</v>
      </c>
      <c r="G33" s="4">
        <v>62</v>
      </c>
    </row>
    <row r="34" spans="1:7" ht="15" customHeight="1" x14ac:dyDescent="0.25">
      <c r="A34" s="3" t="s">
        <v>67</v>
      </c>
      <c r="B34" s="3">
        <v>20240033</v>
      </c>
      <c r="C34" s="3" t="s">
        <v>68</v>
      </c>
      <c r="D34" s="3">
        <v>10</v>
      </c>
      <c r="E34" s="3">
        <v>67</v>
      </c>
      <c r="F34" s="3">
        <v>6</v>
      </c>
      <c r="G34" s="3">
        <v>65</v>
      </c>
    </row>
    <row r="35" spans="1:7" ht="15" customHeight="1" x14ac:dyDescent="0.25">
      <c r="A35" s="4" t="s">
        <v>69</v>
      </c>
      <c r="B35" s="4">
        <v>20240034</v>
      </c>
      <c r="C35" s="4" t="s">
        <v>70</v>
      </c>
      <c r="D35" s="4">
        <v>11</v>
      </c>
      <c r="E35" s="4">
        <v>69</v>
      </c>
      <c r="F35" s="4">
        <v>5</v>
      </c>
      <c r="G35" s="4">
        <v>67</v>
      </c>
    </row>
    <row r="36" spans="1:7" ht="15" customHeight="1" x14ac:dyDescent="0.25">
      <c r="A36" s="3" t="s">
        <v>69</v>
      </c>
      <c r="B36" s="3">
        <v>20240035</v>
      </c>
      <c r="C36" s="3" t="s">
        <v>71</v>
      </c>
      <c r="D36" s="3">
        <v>12</v>
      </c>
      <c r="E36" s="3">
        <v>71</v>
      </c>
      <c r="F36" s="3">
        <v>5</v>
      </c>
      <c r="G36" s="3">
        <v>69</v>
      </c>
    </row>
    <row r="37" spans="1:7" ht="15" customHeight="1" x14ac:dyDescent="0.25">
      <c r="A37" s="4" t="s">
        <v>62</v>
      </c>
      <c r="B37" s="4">
        <v>20240036</v>
      </c>
      <c r="C37" s="4" t="s">
        <v>72</v>
      </c>
      <c r="D37" s="4">
        <v>13</v>
      </c>
      <c r="E37" s="4">
        <v>73</v>
      </c>
      <c r="F37" s="4">
        <v>5</v>
      </c>
      <c r="G37" s="4">
        <v>71</v>
      </c>
    </row>
    <row r="38" spans="1:7" ht="15" customHeight="1" x14ac:dyDescent="0.25">
      <c r="A38" s="3" t="s">
        <v>73</v>
      </c>
      <c r="B38" s="3">
        <v>20240037</v>
      </c>
      <c r="C38" s="3" t="s">
        <v>74</v>
      </c>
      <c r="D38" s="3">
        <v>14</v>
      </c>
      <c r="E38" s="3">
        <v>75</v>
      </c>
      <c r="F38" s="3">
        <v>4</v>
      </c>
      <c r="G38" s="3">
        <v>73</v>
      </c>
    </row>
    <row r="39" spans="1:7" ht="15" customHeight="1" x14ac:dyDescent="0.25">
      <c r="A39" s="4" t="s">
        <v>9</v>
      </c>
      <c r="B39" s="4">
        <v>20240038</v>
      </c>
      <c r="C39" s="4" t="s">
        <v>75</v>
      </c>
      <c r="D39" s="4">
        <v>15</v>
      </c>
      <c r="E39" s="4">
        <v>77</v>
      </c>
      <c r="F39" s="4">
        <v>4</v>
      </c>
      <c r="G39" s="4">
        <v>75</v>
      </c>
    </row>
    <row r="40" spans="1:7" ht="15" customHeight="1" x14ac:dyDescent="0.25">
      <c r="A40" s="3" t="s">
        <v>13</v>
      </c>
      <c r="B40" s="3">
        <v>20240039</v>
      </c>
      <c r="C40" s="3" t="s">
        <v>76</v>
      </c>
      <c r="D40" s="3">
        <v>16</v>
      </c>
      <c r="E40" s="3">
        <v>79</v>
      </c>
      <c r="F40" s="3">
        <v>4</v>
      </c>
      <c r="G40" s="3">
        <v>77</v>
      </c>
    </row>
    <row r="41" spans="1:7" ht="15" customHeight="1" x14ac:dyDescent="0.25">
      <c r="A41" s="4" t="s">
        <v>77</v>
      </c>
      <c r="B41" s="4">
        <v>20240040</v>
      </c>
      <c r="C41" s="4" t="s">
        <v>78</v>
      </c>
      <c r="D41" s="4">
        <v>17</v>
      </c>
      <c r="E41" s="4">
        <v>81</v>
      </c>
      <c r="F41" s="4">
        <v>3</v>
      </c>
      <c r="G41" s="4">
        <v>79</v>
      </c>
    </row>
    <row r="42" spans="1:7" ht="15" customHeight="1" x14ac:dyDescent="0.25">
      <c r="A42" s="3" t="s">
        <v>79</v>
      </c>
      <c r="B42" s="3">
        <v>20240041</v>
      </c>
      <c r="C42" s="3" t="s">
        <v>80</v>
      </c>
      <c r="D42" s="3">
        <v>18</v>
      </c>
      <c r="E42" s="3">
        <v>83</v>
      </c>
      <c r="F42" s="3">
        <v>3</v>
      </c>
      <c r="G42" s="3">
        <v>81</v>
      </c>
    </row>
    <row r="43" spans="1:7" ht="15" customHeight="1" x14ac:dyDescent="0.25">
      <c r="A43" s="4" t="s">
        <v>81</v>
      </c>
      <c r="B43" s="4">
        <v>20240042</v>
      </c>
      <c r="C43" s="4" t="s">
        <v>82</v>
      </c>
      <c r="D43" s="4">
        <v>19</v>
      </c>
      <c r="E43" s="4">
        <v>85</v>
      </c>
      <c r="F43" s="4">
        <v>3</v>
      </c>
      <c r="G43" s="4">
        <v>83</v>
      </c>
    </row>
    <row r="44" spans="1:7" ht="15" customHeight="1" x14ac:dyDescent="0.25">
      <c r="A44" s="3" t="s">
        <v>83</v>
      </c>
      <c r="B44" s="3">
        <v>20240043</v>
      </c>
      <c r="C44" s="3" t="s">
        <v>84</v>
      </c>
      <c r="D44" s="3">
        <v>20</v>
      </c>
      <c r="E44" s="3">
        <v>87</v>
      </c>
      <c r="F44" s="3">
        <v>2</v>
      </c>
      <c r="G44" s="3">
        <v>85</v>
      </c>
    </row>
    <row r="45" spans="1:7" ht="15" customHeight="1" x14ac:dyDescent="0.25">
      <c r="A45" s="4" t="s">
        <v>85</v>
      </c>
      <c r="B45" s="4">
        <v>20240044</v>
      </c>
      <c r="C45" s="4" t="s">
        <v>86</v>
      </c>
      <c r="D45" s="4">
        <v>21</v>
      </c>
      <c r="E45" s="4">
        <v>89</v>
      </c>
      <c r="F45" s="4">
        <v>2</v>
      </c>
      <c r="G45" s="4">
        <v>87</v>
      </c>
    </row>
    <row r="46" spans="1:7" ht="15" customHeight="1" x14ac:dyDescent="0.25">
      <c r="A46" s="3" t="s">
        <v>87</v>
      </c>
      <c r="B46" s="3">
        <v>20240045</v>
      </c>
      <c r="C46" s="3" t="s">
        <v>88</v>
      </c>
      <c r="D46" s="3">
        <v>22</v>
      </c>
      <c r="E46" s="3">
        <v>91</v>
      </c>
      <c r="F46" s="3">
        <v>2</v>
      </c>
      <c r="G46" s="3">
        <v>89</v>
      </c>
    </row>
    <row r="47" spans="1:7" ht="15" customHeight="1" x14ac:dyDescent="0.25">
      <c r="A47" s="4" t="s">
        <v>67</v>
      </c>
      <c r="B47" s="4">
        <v>20240046</v>
      </c>
      <c r="C47" s="4" t="s">
        <v>89</v>
      </c>
      <c r="D47" s="4">
        <v>23</v>
      </c>
      <c r="E47" s="4">
        <v>93</v>
      </c>
      <c r="F47" s="4">
        <v>1</v>
      </c>
      <c r="G47" s="4">
        <v>91</v>
      </c>
    </row>
    <row r="48" spans="1:7" ht="15" customHeight="1" x14ac:dyDescent="0.25">
      <c r="A48" s="3" t="s">
        <v>90</v>
      </c>
      <c r="B48" s="3">
        <v>20240047</v>
      </c>
      <c r="C48" s="3" t="s">
        <v>91</v>
      </c>
      <c r="D48" s="3">
        <v>24</v>
      </c>
      <c r="E48" s="3">
        <v>95</v>
      </c>
      <c r="F48" s="3">
        <v>1</v>
      </c>
      <c r="G48" s="3">
        <v>93</v>
      </c>
    </row>
    <row r="49" spans="1:7" ht="15" customHeight="1" x14ac:dyDescent="0.25">
      <c r="A49" s="4" t="s">
        <v>64</v>
      </c>
      <c r="B49" s="4">
        <v>20240048</v>
      </c>
      <c r="C49" s="4" t="s">
        <v>92</v>
      </c>
      <c r="D49" s="4">
        <v>25</v>
      </c>
      <c r="E49" s="4">
        <v>97</v>
      </c>
      <c r="F49" s="4">
        <v>1</v>
      </c>
      <c r="G49" s="4">
        <v>95</v>
      </c>
    </row>
    <row r="50" spans="1:7" ht="15" customHeight="1" x14ac:dyDescent="0.25">
      <c r="A50" s="3" t="s">
        <v>93</v>
      </c>
      <c r="B50" s="3">
        <v>20240049</v>
      </c>
      <c r="C50" s="3" t="s">
        <v>94</v>
      </c>
      <c r="D50" s="3">
        <v>5</v>
      </c>
      <c r="E50" s="3">
        <v>60</v>
      </c>
      <c r="F50" s="3">
        <v>8</v>
      </c>
      <c r="G50" s="3">
        <v>55</v>
      </c>
    </row>
    <row r="51" spans="1:7" ht="15" customHeight="1" x14ac:dyDescent="0.25">
      <c r="A51" s="4" t="s">
        <v>83</v>
      </c>
      <c r="B51" s="4">
        <v>20240050</v>
      </c>
      <c r="C51" s="4" t="s">
        <v>95</v>
      </c>
      <c r="D51" s="4">
        <v>6</v>
      </c>
      <c r="E51" s="4">
        <v>62</v>
      </c>
      <c r="F51" s="4">
        <v>8</v>
      </c>
      <c r="G51" s="4">
        <v>57</v>
      </c>
    </row>
    <row r="52" spans="1:7" ht="15" customHeight="1" x14ac:dyDescent="0.25">
      <c r="A52" s="3" t="s">
        <v>96</v>
      </c>
      <c r="B52" s="3">
        <v>20240051</v>
      </c>
      <c r="C52" s="3" t="s">
        <v>97</v>
      </c>
      <c r="D52" s="3">
        <v>7</v>
      </c>
      <c r="E52" s="3">
        <v>64</v>
      </c>
      <c r="F52" s="3">
        <v>7</v>
      </c>
      <c r="G52" s="3">
        <v>59</v>
      </c>
    </row>
    <row r="53" spans="1:7" ht="15" customHeight="1" x14ac:dyDescent="0.25">
      <c r="A53" s="4" t="s">
        <v>98</v>
      </c>
      <c r="B53" s="4">
        <v>20240052</v>
      </c>
      <c r="C53" s="4" t="s">
        <v>99</v>
      </c>
      <c r="D53" s="4">
        <v>8</v>
      </c>
      <c r="E53" s="4">
        <v>66</v>
      </c>
      <c r="F53" s="4">
        <v>7</v>
      </c>
      <c r="G53" s="4">
        <v>61</v>
      </c>
    </row>
    <row r="54" spans="1:7" ht="15" customHeight="1" x14ac:dyDescent="0.25">
      <c r="A54" s="3" t="s">
        <v>77</v>
      </c>
      <c r="B54" s="3">
        <v>20240053</v>
      </c>
      <c r="C54" s="3" t="s">
        <v>100</v>
      </c>
      <c r="D54" s="3">
        <v>9</v>
      </c>
      <c r="E54" s="3">
        <v>68</v>
      </c>
      <c r="F54" s="3">
        <v>6</v>
      </c>
      <c r="G54" s="3">
        <v>64</v>
      </c>
    </row>
    <row r="55" spans="1:7" ht="15" customHeight="1" x14ac:dyDescent="0.25">
      <c r="A55" s="4" t="s">
        <v>101</v>
      </c>
      <c r="B55" s="4">
        <v>20240054</v>
      </c>
      <c r="C55" s="4" t="s">
        <v>102</v>
      </c>
      <c r="D55" s="4">
        <v>10</v>
      </c>
      <c r="E55" s="4">
        <v>70</v>
      </c>
      <c r="F55" s="4">
        <v>6</v>
      </c>
      <c r="G55" s="4">
        <v>66</v>
      </c>
    </row>
    <row r="56" spans="1:7" ht="15" customHeight="1" x14ac:dyDescent="0.25">
      <c r="A56" s="3" t="s">
        <v>103</v>
      </c>
      <c r="B56" s="3">
        <v>20240055</v>
      </c>
      <c r="C56" s="3" t="s">
        <v>104</v>
      </c>
      <c r="D56" s="3">
        <v>11</v>
      </c>
      <c r="E56" s="3">
        <v>72</v>
      </c>
      <c r="F56" s="3">
        <v>5</v>
      </c>
      <c r="G56" s="3">
        <v>69</v>
      </c>
    </row>
    <row r="57" spans="1:7" ht="15" customHeight="1" x14ac:dyDescent="0.25">
      <c r="A57" s="4" t="s">
        <v>87</v>
      </c>
      <c r="B57" s="4">
        <v>20240056</v>
      </c>
      <c r="C57" s="4" t="s">
        <v>105</v>
      </c>
      <c r="D57" s="4">
        <v>12</v>
      </c>
      <c r="E57" s="4">
        <v>74</v>
      </c>
      <c r="F57" s="4">
        <v>5</v>
      </c>
      <c r="G57" s="4">
        <v>71</v>
      </c>
    </row>
    <row r="58" spans="1:7" ht="15" customHeight="1" x14ac:dyDescent="0.25">
      <c r="A58" s="3" t="s">
        <v>106</v>
      </c>
      <c r="B58" s="3">
        <v>20240057</v>
      </c>
      <c r="C58" s="3" t="s">
        <v>107</v>
      </c>
      <c r="D58" s="3">
        <v>13</v>
      </c>
      <c r="E58" s="3">
        <v>76</v>
      </c>
      <c r="F58" s="3">
        <v>5</v>
      </c>
      <c r="G58" s="3">
        <v>73</v>
      </c>
    </row>
    <row r="59" spans="1:7" ht="15" customHeight="1" x14ac:dyDescent="0.25">
      <c r="A59" s="4" t="s">
        <v>108</v>
      </c>
      <c r="B59" s="4">
        <v>20240058</v>
      </c>
      <c r="C59" s="4" t="s">
        <v>109</v>
      </c>
      <c r="D59" s="4">
        <v>14</v>
      </c>
      <c r="E59" s="4">
        <v>78</v>
      </c>
      <c r="F59" s="4">
        <v>4</v>
      </c>
      <c r="G59" s="4">
        <v>75</v>
      </c>
    </row>
    <row r="60" spans="1:7" ht="15" customHeight="1" x14ac:dyDescent="0.25">
      <c r="A60" s="3" t="s">
        <v>110</v>
      </c>
      <c r="B60" s="3">
        <v>20240059</v>
      </c>
      <c r="C60" s="3" t="s">
        <v>111</v>
      </c>
      <c r="D60" s="3">
        <v>15</v>
      </c>
      <c r="E60" s="3">
        <v>80</v>
      </c>
      <c r="F60" s="3">
        <v>4</v>
      </c>
      <c r="G60" s="3">
        <v>77</v>
      </c>
    </row>
    <row r="61" spans="1:7" ht="15" customHeight="1" x14ac:dyDescent="0.25">
      <c r="A61" s="4" t="s">
        <v>37</v>
      </c>
      <c r="B61" s="4">
        <v>20240060</v>
      </c>
      <c r="C61" s="4" t="s">
        <v>112</v>
      </c>
      <c r="D61" s="4">
        <v>16</v>
      </c>
      <c r="E61" s="4">
        <v>82</v>
      </c>
      <c r="F61" s="4">
        <v>4</v>
      </c>
      <c r="G61" s="4">
        <v>79</v>
      </c>
    </row>
    <row r="62" spans="1:7" ht="15" customHeight="1" x14ac:dyDescent="0.25">
      <c r="A62" s="3" t="s">
        <v>21</v>
      </c>
      <c r="B62" s="3">
        <v>20240061</v>
      </c>
      <c r="C62" s="3" t="s">
        <v>113</v>
      </c>
      <c r="D62" s="3">
        <v>17</v>
      </c>
      <c r="E62" s="3">
        <v>84</v>
      </c>
      <c r="F62" s="3">
        <v>3</v>
      </c>
      <c r="G62" s="3">
        <v>81</v>
      </c>
    </row>
    <row r="63" spans="1:7" ht="15" customHeight="1" x14ac:dyDescent="0.25">
      <c r="A63" s="4" t="s">
        <v>23</v>
      </c>
      <c r="B63" s="4">
        <v>20240062</v>
      </c>
      <c r="C63" s="4" t="s">
        <v>114</v>
      </c>
      <c r="D63" s="4">
        <v>18</v>
      </c>
      <c r="E63" s="4">
        <v>86</v>
      </c>
      <c r="F63" s="4">
        <v>3</v>
      </c>
      <c r="G63" s="4">
        <v>83</v>
      </c>
    </row>
    <row r="64" spans="1:7" ht="15" customHeight="1" x14ac:dyDescent="0.25">
      <c r="A64" s="3" t="s">
        <v>43</v>
      </c>
      <c r="B64" s="3">
        <v>20240063</v>
      </c>
      <c r="C64" s="3" t="s">
        <v>115</v>
      </c>
      <c r="D64" s="3">
        <v>19</v>
      </c>
      <c r="E64" s="3">
        <v>88</v>
      </c>
      <c r="F64" s="3">
        <v>3</v>
      </c>
      <c r="G64" s="3">
        <v>85</v>
      </c>
    </row>
    <row r="65" spans="1:7" ht="15" customHeight="1" x14ac:dyDescent="0.25">
      <c r="A65" s="4" t="s">
        <v>116</v>
      </c>
      <c r="B65" s="4">
        <v>20240064</v>
      </c>
      <c r="C65" s="4" t="s">
        <v>117</v>
      </c>
      <c r="D65" s="4">
        <v>20</v>
      </c>
      <c r="E65" s="4">
        <v>90</v>
      </c>
      <c r="F65" s="4">
        <v>2</v>
      </c>
      <c r="G65" s="4">
        <v>87</v>
      </c>
    </row>
    <row r="66" spans="1:7" ht="15" customHeight="1" x14ac:dyDescent="0.25">
      <c r="A66" s="3" t="s">
        <v>118</v>
      </c>
      <c r="B66" s="3">
        <v>20240065</v>
      </c>
      <c r="C66" s="3" t="s">
        <v>119</v>
      </c>
      <c r="D66" s="3">
        <v>21</v>
      </c>
      <c r="E66" s="3">
        <v>92</v>
      </c>
      <c r="F66" s="3">
        <v>2</v>
      </c>
      <c r="G66" s="3">
        <v>89</v>
      </c>
    </row>
    <row r="67" spans="1:7" ht="15" customHeight="1" x14ac:dyDescent="0.25">
      <c r="A67" s="4" t="s">
        <v>120</v>
      </c>
      <c r="B67" s="4">
        <v>20240066</v>
      </c>
      <c r="C67" s="4" t="s">
        <v>121</v>
      </c>
      <c r="D67" s="4">
        <v>22</v>
      </c>
      <c r="E67" s="4">
        <v>94</v>
      </c>
      <c r="F67" s="4">
        <v>2</v>
      </c>
      <c r="G67" s="4">
        <v>91</v>
      </c>
    </row>
    <row r="68" spans="1:7" ht="15" customHeight="1" x14ac:dyDescent="0.25">
      <c r="A68" s="3" t="s">
        <v>122</v>
      </c>
      <c r="B68" s="3">
        <v>20240067</v>
      </c>
      <c r="C68" s="3" t="s">
        <v>123</v>
      </c>
      <c r="D68" s="3">
        <v>23</v>
      </c>
      <c r="E68" s="3">
        <v>96</v>
      </c>
      <c r="F68" s="3">
        <v>1</v>
      </c>
      <c r="G68" s="3">
        <v>93</v>
      </c>
    </row>
    <row r="69" spans="1:7" ht="15" customHeight="1" x14ac:dyDescent="0.25">
      <c r="A69" s="4" t="s">
        <v>124</v>
      </c>
      <c r="B69" s="4">
        <v>20240068</v>
      </c>
      <c r="C69" s="4" t="s">
        <v>125</v>
      </c>
      <c r="D69" s="4">
        <v>24</v>
      </c>
      <c r="E69" s="4">
        <v>98</v>
      </c>
      <c r="F69" s="4">
        <v>1</v>
      </c>
      <c r="G69" s="4">
        <v>95</v>
      </c>
    </row>
    <row r="70" spans="1:7" ht="15" customHeight="1" x14ac:dyDescent="0.25">
      <c r="A70" s="3" t="s">
        <v>126</v>
      </c>
      <c r="B70" s="3">
        <v>20240069</v>
      </c>
      <c r="C70" s="3" t="s">
        <v>127</v>
      </c>
      <c r="D70" s="3">
        <v>4</v>
      </c>
      <c r="E70" s="3">
        <v>54</v>
      </c>
      <c r="F70" s="3">
        <v>9</v>
      </c>
      <c r="G70" s="3">
        <v>51</v>
      </c>
    </row>
    <row r="71" spans="1:7" ht="15" customHeight="1" x14ac:dyDescent="0.25">
      <c r="A71" s="4" t="s">
        <v>64</v>
      </c>
      <c r="B71" s="4">
        <v>20240070</v>
      </c>
      <c r="C71" s="4" t="s">
        <v>128</v>
      </c>
      <c r="D71" s="4">
        <v>6</v>
      </c>
      <c r="E71" s="4">
        <v>59</v>
      </c>
      <c r="F71" s="4">
        <v>8</v>
      </c>
      <c r="G71" s="4">
        <v>56</v>
      </c>
    </row>
    <row r="72" spans="1:7" ht="15" customHeight="1" x14ac:dyDescent="0.25">
      <c r="A72" s="3" t="s">
        <v>122</v>
      </c>
      <c r="B72" s="3">
        <v>20240071</v>
      </c>
      <c r="C72" s="3" t="s">
        <v>129</v>
      </c>
      <c r="D72" s="3">
        <v>8</v>
      </c>
      <c r="E72" s="3">
        <v>63</v>
      </c>
      <c r="F72" s="3">
        <v>7</v>
      </c>
      <c r="G72" s="3">
        <v>60</v>
      </c>
    </row>
    <row r="73" spans="1:7" ht="15" customHeight="1" x14ac:dyDescent="0.25">
      <c r="A73" s="4" t="s">
        <v>130</v>
      </c>
      <c r="B73" s="4">
        <v>20240072</v>
      </c>
      <c r="C73" s="4" t="s">
        <v>131</v>
      </c>
      <c r="D73" s="4">
        <v>10</v>
      </c>
      <c r="E73" s="4">
        <v>69</v>
      </c>
      <c r="F73" s="4">
        <v>6</v>
      </c>
      <c r="G73" s="4">
        <v>65</v>
      </c>
    </row>
    <row r="74" spans="1:7" ht="15" customHeight="1" x14ac:dyDescent="0.25">
      <c r="A74" s="3" t="s">
        <v>132</v>
      </c>
      <c r="B74" s="3">
        <v>20240073</v>
      </c>
      <c r="C74" s="3" t="s">
        <v>133</v>
      </c>
      <c r="D74" s="3">
        <v>12</v>
      </c>
      <c r="E74" s="3">
        <v>73</v>
      </c>
      <c r="F74" s="3">
        <v>5</v>
      </c>
      <c r="G74" s="3">
        <v>70</v>
      </c>
    </row>
    <row r="75" spans="1:7" ht="15" customHeight="1" x14ac:dyDescent="0.25">
      <c r="A75" s="4" t="s">
        <v>134</v>
      </c>
      <c r="B75" s="4">
        <v>20240074</v>
      </c>
      <c r="C75" s="4" t="s">
        <v>135</v>
      </c>
      <c r="D75" s="4">
        <v>14</v>
      </c>
      <c r="E75" s="4">
        <v>77</v>
      </c>
      <c r="F75" s="4">
        <v>4</v>
      </c>
      <c r="G75" s="4">
        <v>74</v>
      </c>
    </row>
    <row r="76" spans="1:7" ht="15" customHeight="1" x14ac:dyDescent="0.25">
      <c r="A76" s="3" t="s">
        <v>136</v>
      </c>
      <c r="B76" s="3">
        <v>20240075</v>
      </c>
      <c r="C76" s="3" t="s">
        <v>137</v>
      </c>
      <c r="D76" s="3">
        <v>16</v>
      </c>
      <c r="E76" s="3">
        <v>81</v>
      </c>
      <c r="F76" s="3">
        <v>3</v>
      </c>
      <c r="G76" s="3">
        <v>79</v>
      </c>
    </row>
    <row r="77" spans="1:7" ht="15" customHeight="1" x14ac:dyDescent="0.25">
      <c r="A77" s="4" t="s">
        <v>138</v>
      </c>
      <c r="B77" s="4">
        <v>20240076</v>
      </c>
      <c r="C77" s="4" t="s">
        <v>139</v>
      </c>
      <c r="D77" s="4">
        <v>18</v>
      </c>
      <c r="E77" s="4">
        <v>85</v>
      </c>
      <c r="F77" s="4">
        <v>3</v>
      </c>
      <c r="G77" s="4">
        <v>83</v>
      </c>
    </row>
    <row r="78" spans="1:7" ht="15" customHeight="1" x14ac:dyDescent="0.25">
      <c r="A78" s="3" t="s">
        <v>39</v>
      </c>
      <c r="B78" s="3">
        <v>20240077</v>
      </c>
      <c r="C78" s="3" t="s">
        <v>140</v>
      </c>
      <c r="D78" s="3">
        <v>20</v>
      </c>
      <c r="E78" s="3">
        <v>89</v>
      </c>
      <c r="F78" s="3">
        <v>2</v>
      </c>
      <c r="G78" s="3">
        <v>87</v>
      </c>
    </row>
    <row r="79" spans="1:7" ht="15" customHeight="1" x14ac:dyDescent="0.25">
      <c r="A79" s="4" t="s">
        <v>90</v>
      </c>
      <c r="B79" s="4">
        <v>20240078</v>
      </c>
      <c r="C79" s="4" t="s">
        <v>141</v>
      </c>
      <c r="D79" s="4">
        <v>22</v>
      </c>
      <c r="E79" s="4">
        <v>93</v>
      </c>
      <c r="F79" s="4">
        <v>1</v>
      </c>
      <c r="G79" s="4">
        <v>91</v>
      </c>
    </row>
    <row r="80" spans="1:7" ht="15" customHeight="1" x14ac:dyDescent="0.25">
      <c r="A80" s="3" t="s">
        <v>142</v>
      </c>
      <c r="B80" s="3">
        <v>20240079</v>
      </c>
      <c r="C80" s="3" t="s">
        <v>143</v>
      </c>
      <c r="D80" s="3">
        <v>9</v>
      </c>
      <c r="E80" s="3">
        <v>66</v>
      </c>
      <c r="F80" s="3">
        <v>6</v>
      </c>
      <c r="G80" s="3">
        <v>63</v>
      </c>
    </row>
    <row r="81" spans="1:7" ht="15" customHeight="1" x14ac:dyDescent="0.25">
      <c r="A81" s="4" t="s">
        <v>37</v>
      </c>
      <c r="B81" s="4">
        <v>20240080</v>
      </c>
      <c r="C81" s="4" t="s">
        <v>144</v>
      </c>
      <c r="D81" s="4">
        <v>11</v>
      </c>
      <c r="E81" s="4">
        <v>71</v>
      </c>
      <c r="F81" s="4">
        <v>5</v>
      </c>
      <c r="G81" s="4">
        <v>68</v>
      </c>
    </row>
    <row r="82" spans="1:7" ht="15" customHeight="1" x14ac:dyDescent="0.25">
      <c r="A82" s="3" t="s">
        <v>35</v>
      </c>
      <c r="B82" s="3">
        <v>20240081</v>
      </c>
      <c r="C82" s="3" t="s">
        <v>145</v>
      </c>
      <c r="D82" s="3">
        <v>13</v>
      </c>
      <c r="E82" s="3">
        <v>75</v>
      </c>
      <c r="F82" s="3">
        <v>5</v>
      </c>
      <c r="G82" s="3">
        <v>72</v>
      </c>
    </row>
    <row r="83" spans="1:7" ht="15" customHeight="1" x14ac:dyDescent="0.25">
      <c r="A83" s="4" t="s">
        <v>146</v>
      </c>
      <c r="B83" s="4">
        <v>20240082</v>
      </c>
      <c r="C83" s="4" t="s">
        <v>147</v>
      </c>
      <c r="D83" s="4">
        <v>15</v>
      </c>
      <c r="E83" s="4">
        <v>79</v>
      </c>
      <c r="F83" s="4">
        <v>4</v>
      </c>
      <c r="G83" s="4">
        <v>76</v>
      </c>
    </row>
    <row r="84" spans="1:7" ht="15" customHeight="1" x14ac:dyDescent="0.25">
      <c r="A84" s="3" t="s">
        <v>148</v>
      </c>
      <c r="B84" s="3">
        <v>20240083</v>
      </c>
      <c r="C84" s="3" t="s">
        <v>149</v>
      </c>
      <c r="D84" s="3">
        <v>17</v>
      </c>
      <c r="E84" s="3">
        <v>83</v>
      </c>
      <c r="F84" s="3">
        <v>3</v>
      </c>
      <c r="G84" s="3">
        <v>80</v>
      </c>
    </row>
    <row r="85" spans="1:7" ht="15" customHeight="1" x14ac:dyDescent="0.25">
      <c r="A85" s="4" t="s">
        <v>9</v>
      </c>
      <c r="B85" s="4">
        <v>20240084</v>
      </c>
      <c r="C85" s="4" t="s">
        <v>150</v>
      </c>
      <c r="D85" s="4">
        <v>19</v>
      </c>
      <c r="E85" s="4">
        <v>87</v>
      </c>
      <c r="F85" s="4">
        <v>3</v>
      </c>
      <c r="G85" s="4">
        <v>84</v>
      </c>
    </row>
    <row r="86" spans="1:7" ht="15" customHeight="1" x14ac:dyDescent="0.25">
      <c r="A86" s="3" t="s">
        <v>151</v>
      </c>
      <c r="B86" s="3">
        <v>20240085</v>
      </c>
      <c r="C86" s="3" t="s">
        <v>152</v>
      </c>
      <c r="D86" s="3">
        <v>21</v>
      </c>
      <c r="E86" s="3">
        <v>91</v>
      </c>
      <c r="F86" s="3">
        <v>2</v>
      </c>
      <c r="G86" s="3">
        <v>88</v>
      </c>
    </row>
    <row r="87" spans="1:7" ht="15" customHeight="1" x14ac:dyDescent="0.25">
      <c r="A87" s="4" t="s">
        <v>103</v>
      </c>
      <c r="B87" s="4">
        <v>20240086</v>
      </c>
      <c r="C87" s="4" t="s">
        <v>153</v>
      </c>
      <c r="D87" s="4">
        <v>23</v>
      </c>
      <c r="E87" s="4">
        <v>95</v>
      </c>
      <c r="F87" s="4">
        <v>1</v>
      </c>
      <c r="G87" s="4">
        <v>92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zoomScaleNormal="100" workbookViewId="0">
      <selection activeCell="A3" sqref="A3:E3"/>
    </sheetView>
  </sheetViews>
  <sheetFormatPr defaultColWidth="8.7109375" defaultRowHeight="15" x14ac:dyDescent="0.25"/>
  <cols>
    <col min="1" max="1" width="32" style="1" customWidth="1"/>
    <col min="2" max="4" width="18" style="1" customWidth="1"/>
    <col min="5" max="5" width="28" style="1" customWidth="1"/>
  </cols>
  <sheetData>
    <row r="1" spans="1:5" ht="27.75" customHeight="1" x14ac:dyDescent="0.25">
      <c r="A1" s="5" t="s">
        <v>154</v>
      </c>
      <c r="B1" s="5"/>
      <c r="C1" s="5"/>
      <c r="D1" s="5"/>
      <c r="E1" s="5"/>
    </row>
    <row r="2" spans="1:5" ht="15.75" x14ac:dyDescent="0.25">
      <c r="A2" s="6"/>
      <c r="B2" s="6"/>
      <c r="C2" s="6"/>
      <c r="D2" s="6"/>
      <c r="E2" s="6"/>
    </row>
    <row r="3" spans="1:5" ht="19.5" customHeight="1" x14ac:dyDescent="0.25">
      <c r="A3" s="5" t="s">
        <v>155</v>
      </c>
      <c r="B3" s="5"/>
      <c r="C3" s="5"/>
      <c r="D3" s="5"/>
      <c r="E3" s="5"/>
    </row>
    <row r="4" spans="1:5" ht="15" customHeight="1" x14ac:dyDescent="0.25">
      <c r="A4" s="7" t="s">
        <v>156</v>
      </c>
      <c r="B4" s="8">
        <f>COUNTA(Dataset!A:A)-1</f>
        <v>86</v>
      </c>
      <c r="C4" s="8"/>
      <c r="D4" s="8"/>
      <c r="E4" s="8"/>
    </row>
    <row r="5" spans="1:5" ht="15" customHeight="1" x14ac:dyDescent="0.25">
      <c r="A5" s="7" t="s">
        <v>157</v>
      </c>
      <c r="B5" s="8">
        <f>COLUMNS(Dataset!A1:G1)</f>
        <v>7</v>
      </c>
      <c r="C5" s="8"/>
      <c r="D5" s="8"/>
      <c r="E5" s="8"/>
    </row>
    <row r="6" spans="1:5" ht="15" customHeight="1" x14ac:dyDescent="0.25">
      <c r="A6" s="7" t="s">
        <v>158</v>
      </c>
      <c r="B6" s="8" t="s">
        <v>159</v>
      </c>
      <c r="C6" s="8"/>
      <c r="D6" s="8"/>
      <c r="E6" s="8"/>
    </row>
    <row r="7" spans="1:5" ht="15" customHeight="1" x14ac:dyDescent="0.25">
      <c r="A7" s="7" t="s">
        <v>160</v>
      </c>
      <c r="B7" s="8" t="s">
        <v>161</v>
      </c>
      <c r="C7" s="8"/>
      <c r="D7" s="8"/>
      <c r="E7" s="8"/>
    </row>
    <row r="8" spans="1:5" ht="15.75" x14ac:dyDescent="0.25">
      <c r="A8" s="6"/>
      <c r="B8" s="6"/>
      <c r="C8" s="6"/>
      <c r="D8" s="6"/>
      <c r="E8" s="6"/>
    </row>
    <row r="9" spans="1:5" ht="19.5" customHeight="1" x14ac:dyDescent="0.25">
      <c r="A9" s="5" t="s">
        <v>162</v>
      </c>
      <c r="B9" s="5"/>
      <c r="C9" s="5"/>
      <c r="D9" s="5"/>
      <c r="E9" s="5"/>
    </row>
    <row r="10" spans="1:5" ht="15" customHeight="1" x14ac:dyDescent="0.25">
      <c r="A10" s="7" t="s">
        <v>163</v>
      </c>
      <c r="B10" s="9">
        <f>AVERAGE(Dataset!G2:G87)</f>
        <v>73.674418604651166</v>
      </c>
      <c r="C10" s="9"/>
      <c r="D10" s="9"/>
      <c r="E10" s="9"/>
    </row>
    <row r="11" spans="1:5" ht="15" customHeight="1" x14ac:dyDescent="0.25">
      <c r="A11" s="7" t="s">
        <v>164</v>
      </c>
      <c r="B11" s="9">
        <f>MEDIAN(Dataset!G2:G87)</f>
        <v>74.5</v>
      </c>
      <c r="C11" s="9"/>
      <c r="D11" s="9"/>
      <c r="E11" s="9"/>
    </row>
    <row r="12" spans="1:5" ht="15" customHeight="1" x14ac:dyDescent="0.25">
      <c r="A12" s="7" t="s">
        <v>165</v>
      </c>
      <c r="B12" s="9">
        <f>MODE(Dataset!G2:G87)</f>
        <v>79</v>
      </c>
      <c r="C12" s="9"/>
      <c r="D12" s="9"/>
      <c r="E12" s="9"/>
    </row>
    <row r="13" spans="1:5" ht="15" customHeight="1" x14ac:dyDescent="0.25">
      <c r="A13" s="7" t="s">
        <v>166</v>
      </c>
      <c r="B13" s="9">
        <f>QUARTILE(Dataset!G2:G87,1)</f>
        <v>63</v>
      </c>
      <c r="C13" s="9"/>
      <c r="D13" s="9"/>
      <c r="E13" s="9"/>
    </row>
    <row r="14" spans="1:5" ht="15" customHeight="1" x14ac:dyDescent="0.25">
      <c r="A14" s="7" t="s">
        <v>167</v>
      </c>
      <c r="B14" s="9">
        <f>QUARTILE(Dataset!G2:G87,2)</f>
        <v>74.5</v>
      </c>
      <c r="C14" s="9"/>
      <c r="D14" s="9"/>
      <c r="E14" s="9"/>
    </row>
    <row r="15" spans="1:5" ht="15" customHeight="1" x14ac:dyDescent="0.25">
      <c r="A15" s="7" t="s">
        <v>168</v>
      </c>
      <c r="B15" s="9">
        <f>QUARTILE(Dataset!G2:G87,3)</f>
        <v>85</v>
      </c>
      <c r="C15" s="9"/>
      <c r="D15" s="9"/>
      <c r="E15" s="9"/>
    </row>
    <row r="16" spans="1:5" ht="15" customHeight="1" x14ac:dyDescent="0.25">
      <c r="A16" s="7" t="s">
        <v>169</v>
      </c>
      <c r="B16" s="9">
        <f>MIN(Dataset!G2:G87)</f>
        <v>45</v>
      </c>
      <c r="C16" s="9"/>
      <c r="D16" s="9"/>
      <c r="E16" s="9"/>
    </row>
    <row r="17" spans="1:5" ht="15" customHeight="1" x14ac:dyDescent="0.25">
      <c r="A17" s="7" t="s">
        <v>170</v>
      </c>
      <c r="B17" s="9">
        <f>MAX(Dataset!G2:G87)</f>
        <v>98</v>
      </c>
      <c r="C17" s="9"/>
      <c r="D17" s="9"/>
      <c r="E17" s="9"/>
    </row>
    <row r="18" spans="1:5" ht="15" customHeight="1" x14ac:dyDescent="0.25">
      <c r="A18" s="7" t="s">
        <v>171</v>
      </c>
      <c r="B18" s="9">
        <f>STDEV(Dataset!G2:G87)</f>
        <v>13.94733106281091</v>
      </c>
      <c r="C18" s="9"/>
      <c r="D18" s="9"/>
      <c r="E18" s="9"/>
    </row>
    <row r="19" spans="1:5" ht="15" customHeight="1" x14ac:dyDescent="0.25">
      <c r="A19" s="7" t="s">
        <v>172</v>
      </c>
      <c r="B19" s="9">
        <f>MAX(Dataset!G2:G87)-MIN(Dataset!G2:G87)</f>
        <v>53</v>
      </c>
      <c r="C19" s="9"/>
      <c r="D19" s="9"/>
      <c r="E19" s="9"/>
    </row>
    <row r="20" spans="1:5" ht="15" customHeight="1" x14ac:dyDescent="0.25">
      <c r="A20" s="7" t="s">
        <v>173</v>
      </c>
      <c r="B20" s="9">
        <f>QUARTILE(Dataset!G2:G87,3)-QUARTILE(Dataset!G2:G87,1)</f>
        <v>22</v>
      </c>
      <c r="C20" s="9"/>
      <c r="D20" s="9"/>
      <c r="E20" s="9"/>
    </row>
  </sheetData>
  <mergeCells count="18">
    <mergeCell ref="B18:E18"/>
    <mergeCell ref="B19:E19"/>
    <mergeCell ref="B20:E20"/>
    <mergeCell ref="B13:E13"/>
    <mergeCell ref="B14:E14"/>
    <mergeCell ref="B15:E15"/>
    <mergeCell ref="B16:E16"/>
    <mergeCell ref="B17:E17"/>
    <mergeCell ref="B7:E7"/>
    <mergeCell ref="A9:E9"/>
    <mergeCell ref="B10:E10"/>
    <mergeCell ref="B11:E11"/>
    <mergeCell ref="B12:E12"/>
    <mergeCell ref="A1:E1"/>
    <mergeCell ref="A3:E3"/>
    <mergeCell ref="B4:E4"/>
    <mergeCell ref="B5:E5"/>
    <mergeCell ref="B6:E6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zoomScaleNormal="100" workbookViewId="0">
      <selection sqref="A1:C6"/>
    </sheetView>
  </sheetViews>
  <sheetFormatPr defaultColWidth="8.7109375" defaultRowHeight="15" x14ac:dyDescent="0.25"/>
  <cols>
    <col min="1" max="1" width="38" style="1" customWidth="1"/>
    <col min="2" max="2" width="20" style="1" customWidth="1"/>
    <col min="3" max="3" width="30" style="1" customWidth="1"/>
  </cols>
  <sheetData>
    <row r="1" spans="1:3" ht="27.75" customHeight="1" x14ac:dyDescent="0.25">
      <c r="A1" s="10" t="s">
        <v>174</v>
      </c>
      <c r="B1" s="10"/>
      <c r="C1" s="10"/>
    </row>
    <row r="2" spans="1:3" x14ac:dyDescent="0.25">
      <c r="A2" s="11"/>
      <c r="B2" s="11"/>
      <c r="C2" s="11"/>
    </row>
    <row r="3" spans="1:3" ht="15" customHeight="1" x14ac:dyDescent="0.25">
      <c r="A3" s="12" t="s">
        <v>175</v>
      </c>
      <c r="B3" s="12" t="s">
        <v>176</v>
      </c>
      <c r="C3" s="12" t="s">
        <v>177</v>
      </c>
    </row>
    <row r="4" spans="1:3" ht="23.25" customHeight="1" x14ac:dyDescent="0.25">
      <c r="A4" s="13" t="s">
        <v>178</v>
      </c>
      <c r="B4" s="14">
        <f>CORREL(Dataset!D2:D87, Dataset!G2:G87)</f>
        <v>0.99661674832475389</v>
      </c>
      <c r="C4" s="15" t="s">
        <v>179</v>
      </c>
    </row>
    <row r="5" spans="1:3" ht="23.25" customHeight="1" x14ac:dyDescent="0.25">
      <c r="A5" s="13" t="s">
        <v>180</v>
      </c>
      <c r="B5" s="14">
        <f>CORREL(Dataset!E2:E87, Dataset!G2:G87)</f>
        <v>0.99473357926923456</v>
      </c>
      <c r="C5" s="15" t="s">
        <v>181</v>
      </c>
    </row>
    <row r="6" spans="1:3" ht="15" customHeight="1" x14ac:dyDescent="0.25">
      <c r="A6" s="13" t="s">
        <v>182</v>
      </c>
      <c r="B6" s="14">
        <f>CORREL(Dataset!F2:F87, Dataset!G2:G87)</f>
        <v>-0.99180870878311445</v>
      </c>
      <c r="C6" s="15" t="s">
        <v>183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zoomScaleNormal="100" workbookViewId="0">
      <selection activeCell="C4" sqref="C4"/>
    </sheetView>
  </sheetViews>
  <sheetFormatPr defaultColWidth="8.7109375" defaultRowHeight="15" x14ac:dyDescent="0.25"/>
  <cols>
    <col min="1" max="1" width="30" style="1" customWidth="1"/>
    <col min="2" max="4" width="22" style="1" customWidth="1"/>
  </cols>
  <sheetData>
    <row r="1" spans="1:4" ht="27.75" customHeight="1" x14ac:dyDescent="0.25">
      <c r="A1" s="10" t="s">
        <v>184</v>
      </c>
      <c r="B1" s="10"/>
      <c r="C1" s="10"/>
      <c r="D1" s="10"/>
    </row>
    <row r="2" spans="1:4" x14ac:dyDescent="0.25">
      <c r="A2" s="11"/>
      <c r="B2" s="11"/>
      <c r="C2" s="11"/>
      <c r="D2" s="11"/>
    </row>
    <row r="3" spans="1:4" ht="15" customHeight="1" x14ac:dyDescent="0.25">
      <c r="A3" s="16" t="s">
        <v>185</v>
      </c>
      <c r="B3" s="17" t="s">
        <v>186</v>
      </c>
      <c r="C3" s="17"/>
      <c r="D3" s="17"/>
    </row>
    <row r="4" spans="1:4" x14ac:dyDescent="0.25">
      <c r="A4" s="11"/>
      <c r="B4" s="11"/>
      <c r="C4" s="11"/>
      <c r="D4" s="11"/>
    </row>
    <row r="5" spans="1:4" ht="15" customHeight="1" x14ac:dyDescent="0.25">
      <c r="A5" s="12" t="s">
        <v>187</v>
      </c>
      <c r="B5" s="12" t="s">
        <v>188</v>
      </c>
      <c r="C5" s="12" t="s">
        <v>189</v>
      </c>
      <c r="D5" s="12" t="s">
        <v>190</v>
      </c>
    </row>
    <row r="6" spans="1:4" ht="15" customHeight="1" x14ac:dyDescent="0.25">
      <c r="A6" s="18" t="s">
        <v>191</v>
      </c>
      <c r="B6" s="19">
        <f>COUNTIF(Dataset!D2:D87,"&lt;=10")</f>
        <v>28</v>
      </c>
      <c r="C6" s="19">
        <f>COUNTIF(Dataset!D2:D87,"&gt;10")</f>
        <v>58</v>
      </c>
      <c r="D6" s="19">
        <f>C6-B6</f>
        <v>30</v>
      </c>
    </row>
    <row r="7" spans="1:4" ht="15" customHeight="1" x14ac:dyDescent="0.25">
      <c r="A7" s="18" t="s">
        <v>192</v>
      </c>
      <c r="B7" s="19">
        <f>AVERAGEIF(Dataset!D2:D87,"&lt;=10",Dataset!G2:G87)</f>
        <v>57.178571428571431</v>
      </c>
      <c r="C7" s="19">
        <f>AVERAGEIF(Dataset!D2:D87,"&gt;10",Dataset!G2:G87)</f>
        <v>81.637931034482762</v>
      </c>
      <c r="D7" s="19">
        <f>C7-B7</f>
        <v>24.459359605911331</v>
      </c>
    </row>
    <row r="8" spans="1:4" ht="15" customHeight="1" x14ac:dyDescent="0.25">
      <c r="A8" s="18" t="s">
        <v>193</v>
      </c>
      <c r="B8" s="19">
        <f>MIN(IF(Dataset!D2:D87&lt;=10,Dataset!G2:G87))</f>
        <v>45</v>
      </c>
      <c r="C8" s="19">
        <f>MIN(IF(Dataset!D2:D87&gt;10,Dataset!G2:G87))</f>
        <v>0</v>
      </c>
      <c r="D8" s="19">
        <f>C8-B8</f>
        <v>-45</v>
      </c>
    </row>
    <row r="9" spans="1:4" ht="15" customHeight="1" x14ac:dyDescent="0.25">
      <c r="A9" s="18" t="s">
        <v>194</v>
      </c>
      <c r="B9" s="19">
        <f>MAX(IF(Dataset!D2:D87&lt;=10,Dataset!G2:G87))</f>
        <v>98</v>
      </c>
      <c r="C9" s="19">
        <f>MAX(IF(Dataset!D2:D87&gt;10,Dataset!G2:G87))</f>
        <v>0</v>
      </c>
      <c r="D9" s="19">
        <f>C9-B9</f>
        <v>-98</v>
      </c>
    </row>
  </sheetData>
  <mergeCells count="2">
    <mergeCell ref="A1:D1"/>
    <mergeCell ref="B3:D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Dataset</vt:lpstr>
      <vt:lpstr>Estatísticas - Etapa 1</vt:lpstr>
      <vt:lpstr>Correlações - Etapa 3</vt:lpstr>
      <vt:lpstr>Hipótese - Etapa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Guilherme</cp:lastModifiedBy>
  <cp:revision>0</cp:revision>
  <dcterms:created xsi:type="dcterms:W3CDTF">2026-03-20T02:23:04Z</dcterms:created>
  <dcterms:modified xsi:type="dcterms:W3CDTF">2026-03-20T02:40:06Z</dcterms:modified>
  <dc:language>en-US</dc:language>
</cp:coreProperties>
</file>